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nt Audit" sheetId="1" state="visible" r:id="rId3"/>
    <sheet name="Handoff Chain" sheetId="2" state="visible" r:id="rId4"/>
    <sheet name="Scor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<sst xmlns="http://schemas.openxmlformats.org/spreadsheetml/2006/main" count="358" uniqueCount="222">
  <si>
    <t xml:space="preserve">Agent</t>
  </si>
  <si>
    <t xml:space="preserve">Title</t>
  </si>
  <si>
    <t xml:space="preserve">Department</t>
  </si>
  <si>
    <t xml:space="preserve">Lines</t>
  </si>
  <si>
    <t xml:space="preserve">Stack A Refs</t>
  </si>
  <si>
    <t xml:space="preserve">Handoffs</t>
  </si>
  <si>
    <t xml:space="preserve">Self-Check</t>
  </si>
  <si>
    <t xml:space="preserve">Score</t>
  </si>
  <si>
    <t xml:space="preserve">Status</t>
  </si>
  <si>
    <t xml:space="preserve">Onboarded</t>
  </si>
  <si>
    <t xml:space="preserve">Notes</t>
  </si>
  <si>
    <t xml:space="preserve">Rex</t>
  </si>
  <si>
    <t xml:space="preserve">Commander</t>
  </si>
  <si>
    <t xml:space="preserve">Executive</t>
  </si>
  <si>
    <t xml:space="preserve">PASS</t>
  </si>
  <si>
    <t xml:space="preserve">2025-09-01</t>
  </si>
  <si>
    <t xml:space="preserve">Orchestrator. Max score.</t>
  </si>
  <si>
    <t xml:space="preserve">Arya</t>
  </si>
  <si>
    <t xml:space="preserve">VP Engineering</t>
  </si>
  <si>
    <t xml:space="preserve">Engineering</t>
  </si>
  <si>
    <t xml:space="preserve">Architecture + sprint planning</t>
  </si>
  <si>
    <t xml:space="preserve">Riko</t>
  </si>
  <si>
    <t xml:space="preserve">Project Setup</t>
  </si>
  <si>
    <t xml:space="preserve">Scaffold + configs</t>
  </si>
  <si>
    <t xml:space="preserve">Koda</t>
  </si>
  <si>
    <t xml:space="preserve">Feature Builder</t>
  </si>
  <si>
    <t xml:space="preserve">All production code</t>
  </si>
  <si>
    <t xml:space="preserve">Vega</t>
  </si>
  <si>
    <t xml:space="preserve">Design</t>
  </si>
  <si>
    <t xml:space="preserve">Creative &amp; Brand</t>
  </si>
  <si>
    <t xml:space="preserve">UI/UX specs + visual review</t>
  </si>
  <si>
    <t xml:space="preserve">Quill</t>
  </si>
  <si>
    <t xml:space="preserve">Content &amp; Copy</t>
  </si>
  <si>
    <t xml:space="preserve">Landing pages, CTAs, microcopy</t>
  </si>
  <si>
    <t xml:space="preserve">Luna</t>
  </si>
  <si>
    <t xml:space="preserve">Testing</t>
  </si>
  <si>
    <t xml:space="preserve">Unit, integration, regression</t>
  </si>
  <si>
    <t xml:space="preserve">Sage</t>
  </si>
  <si>
    <t xml:space="preserve">Code Review</t>
  </si>
  <si>
    <t xml:space="preserve">Security, a11y, GDPR, perf audit</t>
  </si>
  <si>
    <t xml:space="preserve">Bolt</t>
  </si>
  <si>
    <t xml:space="preserve">Deployment</t>
  </si>
  <si>
    <t xml:space="preserve">CI/CD, Railway deploy, rollback</t>
  </si>
  <si>
    <t xml:space="preserve">Hawk</t>
  </si>
  <si>
    <t xml:space="preserve">Monitoring</t>
  </si>
  <si>
    <t xml:space="preserve">Sentry, PostHog, alert routing</t>
  </si>
  <si>
    <t xml:space="preserve">Vex</t>
  </si>
  <si>
    <t xml:space="preserve">Bug Fixer</t>
  </si>
  <si>
    <t xml:space="preserve">Root cause analysis + fix</t>
  </si>
  <si>
    <t xml:space="preserve">Nova</t>
  </si>
  <si>
    <t xml:space="preserve">Market Research</t>
  </si>
  <si>
    <t xml:space="preserve">Research &amp; Strategy</t>
  </si>
  <si>
    <t xml:space="preserve">Competitive intel</t>
  </si>
  <si>
    <t xml:space="preserve">Zeph</t>
  </si>
  <si>
    <t xml:space="preserve">SEO</t>
  </si>
  <si>
    <t xml:space="preserve">Technical SEO + Core Web Vitals</t>
  </si>
  <si>
    <t xml:space="preserve">Mira</t>
  </si>
  <si>
    <t xml:space="preserve">Memory Keeper</t>
  </si>
  <si>
    <t xml:space="preserve">HR</t>
  </si>
  <si>
    <t xml:space="preserve">Knowledge extraction + patterns</t>
  </si>
  <si>
    <t xml:space="preserve">Scout</t>
  </si>
  <si>
    <t xml:space="preserve">Idea Validator</t>
  </si>
  <si>
    <t xml:space="preserve">Pain scoring + ICP</t>
  </si>
  <si>
    <t xml:space="preserve">Atlas</t>
  </si>
  <si>
    <t xml:space="preserve">Market Sizer</t>
  </si>
  <si>
    <t xml:space="preserve">TAM/SAM/SOM</t>
  </si>
  <si>
    <t xml:space="preserve">Ledger</t>
  </si>
  <si>
    <t xml:space="preserve">Pricing &amp; Econ</t>
  </si>
  <si>
    <t xml:space="preserve">LTV/CAC, pricing tiers</t>
  </si>
  <si>
    <t xml:space="preserve">Echo</t>
  </si>
  <si>
    <t xml:space="preserve">Distribution</t>
  </si>
  <si>
    <t xml:space="preserve">Growth &amp; Dist</t>
  </si>
  <si>
    <t xml:space="preserve">Channel plans, launch sequence</t>
  </si>
  <si>
    <t xml:space="preserve">Orbit</t>
  </si>
  <si>
    <t xml:space="preserve">Metrics Architect</t>
  </si>
  <si>
    <t xml:space="preserve">North star metric, KPIs</t>
  </si>
  <si>
    <t xml:space="preserve">Pulse</t>
  </si>
  <si>
    <t xml:space="preserve">User Research</t>
  </si>
  <si>
    <t xml:space="preserve">Interview scripts, pivot signals</t>
  </si>
  <si>
    <t xml:space="preserve">Verdict</t>
  </si>
  <si>
    <t xml:space="preserve">Portfolio Decider</t>
  </si>
  <si>
    <t xml:space="preserve">SCALE/PIVOT/KILL decisions</t>
  </si>
  <si>
    <t xml:space="preserve">Cadence</t>
  </si>
  <si>
    <t xml:space="preserve">Head of People</t>
  </si>
  <si>
    <t xml:space="preserve">NEW — PASS</t>
  </si>
  <si>
    <t xml:space="preserve">2026-04-14</t>
  </si>
  <si>
    <t xml:space="preserve">Weekly reviews, promotions, PIPs. Supabase agent-ops.</t>
  </si>
  <si>
    <t xml:space="preserve">Dato</t>
  </si>
  <si>
    <t xml:space="preserve">Database Architect</t>
  </si>
  <si>
    <t xml:space="preserve">Schema, migrations, RLS, triggers, indexes, Realtime, Edge Functions.</t>
  </si>
  <si>
    <t xml:space="preserve">Forge</t>
  </si>
  <si>
    <t xml:space="preserve">Agent Architect</t>
  </si>
  <si>
    <t xml:space="preserve">Auto-deploys new agents to Probation. Gap detection.</t>
  </si>
  <si>
    <t xml:space="preserve">Harvest</t>
  </si>
  <si>
    <t xml:space="preserve">Sprint Harvester</t>
  </si>
  <si>
    <t xml:space="preserve">NEW — NEEDS TRAINING</t>
  </si>
  <si>
    <t xml:space="preserve">Minimal file. No stack refs, no handoffs, no self-checks.</t>
  </si>
  <si>
    <t xml:space="preserve">Roster</t>
  </si>
  <si>
    <t xml:space="preserve">Registry Keeper</t>
  </si>
  <si>
    <t xml:space="preserve">Nightly recompute, skill index, VETO power.</t>
  </si>
  <si>
    <t xml:space="preserve">Tutor</t>
  </si>
  <si>
    <t xml:space="preserve">Bulk Trainer</t>
  </si>
  <si>
    <t xml:space="preserve">4 training triggers, patch system, impact measurement.</t>
  </si>
  <si>
    <t xml:space="preserve">Witness</t>
  </si>
  <si>
    <t xml:space="preserve">Performance Tracker</t>
  </si>
  <si>
    <t xml:space="preserve">Daily sweep, composite scoring, probation watch.</t>
  </si>
  <si>
    <t xml:space="preserve">TOTALS</t>
  </si>
  <si>
    <t xml:space="preserve">Total Agents</t>
  </si>
  <si>
    <t xml:space="preserve">Original (Apr 11)</t>
  </si>
  <si>
    <t xml:space="preserve">New (Apr 14)</t>
  </si>
  <si>
    <t xml:space="preserve">Passing (≥25)</t>
  </si>
  <si>
    <t xml:space="preserve">Needs Training (&lt;25)</t>
  </si>
  <si>
    <t xml:space="preserve">Avg Score</t>
  </si>
  <si>
    <t xml:space="preserve">System Score</t>
  </si>
  <si>
    <t xml:space="preserve">99.8</t>
  </si>
  <si>
    <t xml:space="preserve">From</t>
  </si>
  <si>
    <t xml:space="preserve">To</t>
  </si>
  <si>
    <t xml:space="preserve">Trigger</t>
  </si>
  <si>
    <t xml:space="preserve">What Passes</t>
  </si>
  <si>
    <t xml:space="preserve">Atlas/Nova</t>
  </si>
  <si>
    <t xml:space="preserve">Idea validated</t>
  </si>
  <si>
    <t xml:space="preserve">Pain score, ICP, brief</t>
  </si>
  <si>
    <t xml:space="preserve">Market sized</t>
  </si>
  <si>
    <t xml:space="preserve">TAM/SAM/SOM, growth rate</t>
  </si>
  <si>
    <t xml:space="preserve">Research complete</t>
  </si>
  <si>
    <t xml:space="preserve">Competitor intel, feature gaps</t>
  </si>
  <si>
    <t xml:space="preserve">Pricing done</t>
  </si>
  <si>
    <t xml:space="preserve">Pricing tiers, LTV/CAC model</t>
  </si>
  <si>
    <t xml:space="preserve">Architecture ready</t>
  </si>
  <si>
    <t xml:space="preserve">Schema, API spec, sprint plan</t>
  </si>
  <si>
    <t xml:space="preserve">Sprint dispatched</t>
  </si>
  <si>
    <t xml:space="preserve">Scaffold task + Arya spec</t>
  </si>
  <si>
    <t xml:space="preserve">Feature tasks + design specs</t>
  </si>
  <si>
    <t xml:space="preserve">Design needed</t>
  </si>
  <si>
    <t xml:space="preserve">Page/component spec request</t>
  </si>
  <si>
    <t xml:space="preserve">Copy needed</t>
  </si>
  <si>
    <t xml:space="preserve">Copy brief + brand context</t>
  </si>
  <si>
    <t xml:space="preserve">Design spec ready</t>
  </si>
  <si>
    <t xml:space="preserve">Component specs, visual hierarchy</t>
  </si>
  <si>
    <t xml:space="preserve">Feature built</t>
  </si>
  <si>
    <t xml:space="preserve">Code ready for testing</t>
  </si>
  <si>
    <t xml:space="preserve">DB work needed</t>
  </si>
  <si>
    <t xml:space="preserve">Schema change, migration, RLS</t>
  </si>
  <si>
    <t xml:space="preserve">Migration ready</t>
  </si>
  <si>
    <t xml:space="preserve">SQL + types regenerated</t>
  </si>
  <si>
    <t xml:space="preserve">Tests pass</t>
  </si>
  <si>
    <t xml:space="preserve">Test results, coverage report</t>
  </si>
  <si>
    <t xml:space="preserve">Audit pass</t>
  </si>
  <si>
    <t xml:space="preserve">Security/a11y/perf sign-off</t>
  </si>
  <si>
    <t xml:space="preserve">Deploy approved</t>
  </si>
  <si>
    <t xml:space="preserve">Audit report, deploy clearance</t>
  </si>
  <si>
    <t xml:space="preserve">SEO ready</t>
  </si>
  <si>
    <t xml:space="preserve">SEO checklist, structured data</t>
  </si>
  <si>
    <t xml:space="preserve">Deployed</t>
  </si>
  <si>
    <t xml:space="preserve">Deploy URL, env, version</t>
  </si>
  <si>
    <t xml:space="preserve">Launch plan ready</t>
  </si>
  <si>
    <t xml:space="preserve">Channel plan, content calendar</t>
  </si>
  <si>
    <t xml:space="preserve">Monitoring live</t>
  </si>
  <si>
    <t xml:space="preserve">Health status, alert config</t>
  </si>
  <si>
    <t xml:space="preserve">Metrics defined</t>
  </si>
  <si>
    <t xml:space="preserve">KPI dashboard, North star</t>
  </si>
  <si>
    <t xml:space="preserve">Research done</t>
  </si>
  <si>
    <t xml:space="preserve">User insights, pivot signals</t>
  </si>
  <si>
    <t xml:space="preserve">Decision made</t>
  </si>
  <si>
    <t xml:space="preserve">SCALE/PIVOT/KILL + rationale</t>
  </si>
  <si>
    <t xml:space="preserve">Koda/Sage</t>
  </si>
  <si>
    <t xml:space="preserve">Bug diagnosed</t>
  </si>
  <si>
    <t xml:space="preserve">Root cause + fix plan</t>
  </si>
  <si>
    <t xml:space="preserve">Scores computed</t>
  </si>
  <si>
    <t xml:space="preserve">Daily composite scores, flags</t>
  </si>
  <si>
    <t xml:space="preserve">Runs logged</t>
  </si>
  <si>
    <t xml:space="preserve">Run data for recompute</t>
  </si>
  <si>
    <t xml:space="preserve">Training needed</t>
  </si>
  <si>
    <t xml:space="preserve">Agent + skill gaps identified</t>
  </si>
  <si>
    <t xml:space="preserve">Capability gap</t>
  </si>
  <si>
    <t xml:space="preserve">Gap spec for new agent</t>
  </si>
  <si>
    <t xml:space="preserve">Agent deployed</t>
  </si>
  <si>
    <t xml:space="preserve">New agent in Probation</t>
  </si>
  <si>
    <t xml:space="preserve">Gap detected</t>
  </si>
  <si>
    <t xml:space="preserve">Skill coverage gaps</t>
  </si>
  <si>
    <t xml:space="preserve">Agents</t>
  </si>
  <si>
    <t xml:space="preserve">Patches ready</t>
  </si>
  <si>
    <t xml:space="preserve">Training patches per agent</t>
  </si>
  <si>
    <t xml:space="preserve">All</t>
  </si>
  <si>
    <t xml:space="preserve">Lessons extracted</t>
  </si>
  <si>
    <t xml:space="preserve">Pattern files updated</t>
  </si>
  <si>
    <t xml:space="preserve">Metric</t>
  </si>
  <si>
    <t xml:space="preserve">Weight</t>
  </si>
  <si>
    <t xml:space="preserve">Max Points</t>
  </si>
  <si>
    <t xml:space="preserve">How Measured</t>
  </si>
  <si>
    <t xml:space="preserve">Lines of training</t>
  </si>
  <si>
    <t xml:space="preserve">10</t>
  </si>
  <si>
    <t xml:space="preserve">≥500 lines = 10, ≥200 = 7, &lt;200 = 4</t>
  </si>
  <si>
    <t xml:space="preserve">Stack A references</t>
  </si>
  <si>
    <t xml:space="preserve">5</t>
  </si>
  <si>
    <t xml:space="preserve">≥10 refs = 5, ≥5 = 3, &lt;5 = 1</t>
  </si>
  <si>
    <t xml:space="preserve">Handoff count</t>
  </si>
  <si>
    <t xml:space="preserve">≥5 handoffs = 5, ≥2 = 3, &lt;2 = 1</t>
  </si>
  <si>
    <t xml:space="preserve">Self-check items</t>
  </si>
  <si>
    <t xml:space="preserve">≥5 items = 5, ≥2 = 3, &lt;2 = 1</t>
  </si>
  <si>
    <t xml:space="preserve">Supabase integration</t>
  </si>
  <si>
    <t xml:space="preserve">3</t>
  </si>
  <si>
    <t xml:space="preserve">Agent-ops DB connected = 3, partial = 1, none = 0</t>
  </si>
  <si>
    <t xml:space="preserve">Token discipline</t>
  </si>
  <si>
    <t xml:space="preserve">2</t>
  </si>
  <si>
    <t xml:space="preserve">Lean output rules present = 2, absent = 0</t>
  </si>
  <si>
    <t xml:space="preserve">TOTAL</t>
  </si>
  <si>
    <t xml:space="preserve">30</t>
  </si>
  <si>
    <t xml:space="preserve">≥25 = PASS, &lt;25 = NEEDS TRAINING</t>
  </si>
  <si>
    <t xml:space="preserve">Composite Score Formula (Runtime)</t>
  </si>
  <si>
    <t xml:space="preserve">gate_pass_rate</t>
  </si>
  <si>
    <t xml:space="preserve">40%</t>
  </si>
  <si>
    <t xml:space="preserve">gatesPassed / (gatesPassed + gatesFailed)</t>
  </si>
  <si>
    <t xml:space="preserve">first_try_success</t>
  </si>
  <si>
    <t xml:space="preserve">30%</t>
  </si>
  <si>
    <t xml:space="preserve">1.0 if first try, 0.0 if not</t>
  </si>
  <si>
    <t xml:space="preserve">rework_cycles</t>
  </si>
  <si>
    <t xml:space="preserve">20%</t>
  </si>
  <si>
    <t xml:space="preserve">max(0, 1.0 - (reworkCycles * 0.2))</t>
  </si>
  <si>
    <t xml:space="preserve">yash_override_rate</t>
  </si>
  <si>
    <t xml:space="preserve">10%</t>
  </si>
  <si>
    <t xml:space="preserve">1.0 - (overrides / total_runs) in 14-day window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</si>
</sst>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65F46"/>
      <name val="Arial"/>
      <family val="0"/>
      <charset val="1"/>
    </font>
    <font>
      <sz val="10"/>
      <color rgb="FF1E40AF"/>
      <name val="Arial"/>
      <family val="0"/>
      <charset val="1"/>
    </font>
    <font>
      <sz val="10"/>
      <color rgb="FF92400E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DBEAFE"/>
        <bgColor rgb="FFD1FAE5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400E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n">
        <v>3454</v>
      </c>
      <c r="E2" s="2" t="n">
        <v>45</v>
      </c>
      <c r="F2" s="2" t="n">
        <v>42</v>
      </c>
      <c r="G2" s="2" t="n">
        <v>16</v>
      </c>
      <c r="H2" s="2" t="n">
        <v>30</v>
      </c>
      <c r="I2" s="3" t="s">
        <v>14</v>
      </c>
      <c r="J2" s="4" t="s">
        <v>15</v>
      </c>
      <c r="K2" s="4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n">
        <v>1763</v>
      </c>
      <c r="E3" s="2" t="n">
        <v>43</v>
      </c>
      <c r="F3" s="2" t="n">
        <v>21</v>
      </c>
      <c r="G3" s="2" t="n">
        <v>4</v>
      </c>
      <c r="H3" s="2" t="n">
        <v>28</v>
      </c>
      <c r="I3" s="3" t="s">
        <v>14</v>
      </c>
      <c r="J3" s="4" t="s">
        <v>15</v>
      </c>
      <c r="K3" s="4" t="s">
        <v>20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19</v>
      </c>
      <c r="D4" s="2" t="n">
        <v>3504</v>
      </c>
      <c r="E4" s="2" t="n">
        <v>48</v>
      </c>
      <c r="F4" s="2" t="n">
        <v>46</v>
      </c>
      <c r="G4" s="2" t="n">
        <v>7</v>
      </c>
      <c r="H4" s="2" t="n">
        <v>30</v>
      </c>
      <c r="I4" s="3" t="s">
        <v>14</v>
      </c>
      <c r="J4" s="4" t="s">
        <v>15</v>
      </c>
      <c r="K4" s="4" t="s">
        <v>23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19</v>
      </c>
      <c r="D5" s="2" t="n">
        <v>4981</v>
      </c>
      <c r="E5" s="2" t="n">
        <v>33</v>
      </c>
      <c r="F5" s="2" t="n">
        <v>10</v>
      </c>
      <c r="G5" s="2" t="n">
        <v>22</v>
      </c>
      <c r="H5" s="2" t="n">
        <v>30</v>
      </c>
      <c r="I5" s="3" t="s">
        <v>14</v>
      </c>
      <c r="J5" s="4" t="s">
        <v>15</v>
      </c>
      <c r="K5" s="4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n">
        <v>1701</v>
      </c>
      <c r="E6" s="2" t="n">
        <v>8</v>
      </c>
      <c r="F6" s="2" t="n">
        <v>8</v>
      </c>
      <c r="G6" s="2" t="n">
        <v>16</v>
      </c>
      <c r="H6" s="2" t="n">
        <v>27</v>
      </c>
      <c r="I6" s="3" t="s">
        <v>14</v>
      </c>
      <c r="J6" s="4" t="s">
        <v>15</v>
      </c>
      <c r="K6" s="4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29</v>
      </c>
      <c r="D7" s="2" t="n">
        <v>2103</v>
      </c>
      <c r="E7" s="2" t="n">
        <v>9</v>
      </c>
      <c r="F7" s="2" t="n">
        <v>9</v>
      </c>
      <c r="G7" s="2" t="n">
        <v>7</v>
      </c>
      <c r="H7" s="2" t="n">
        <v>27</v>
      </c>
      <c r="I7" s="3" t="s">
        <v>14</v>
      </c>
      <c r="J7" s="4" t="s">
        <v>15</v>
      </c>
      <c r="K7" s="4" t="s">
        <v>33</v>
      </c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19</v>
      </c>
      <c r="D8" s="2" t="n">
        <v>2643</v>
      </c>
      <c r="E8" s="2" t="n">
        <v>17</v>
      </c>
      <c r="F8" s="2" t="n">
        <v>6</v>
      </c>
      <c r="G8" s="2" t="n">
        <v>4</v>
      </c>
      <c r="H8" s="2" t="n">
        <v>27</v>
      </c>
      <c r="I8" s="3" t="s">
        <v>14</v>
      </c>
      <c r="J8" s="4" t="s">
        <v>15</v>
      </c>
      <c r="K8" s="4" t="s">
        <v>36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19</v>
      </c>
      <c r="D9" s="2" t="n">
        <v>1910</v>
      </c>
      <c r="E9" s="2" t="n">
        <v>20</v>
      </c>
      <c r="F9" s="2" t="n">
        <v>3</v>
      </c>
      <c r="G9" s="2" t="n">
        <v>12</v>
      </c>
      <c r="H9" s="2" t="n">
        <v>28</v>
      </c>
      <c r="I9" s="3" t="s">
        <v>14</v>
      </c>
      <c r="J9" s="4" t="s">
        <v>15</v>
      </c>
      <c r="K9" s="4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19</v>
      </c>
      <c r="D10" s="2" t="n">
        <v>2521</v>
      </c>
      <c r="E10" s="2" t="n">
        <v>55</v>
      </c>
      <c r="F10" s="2" t="n">
        <v>5</v>
      </c>
      <c r="G10" s="2" t="n">
        <v>11</v>
      </c>
      <c r="H10" s="2" t="n">
        <v>30</v>
      </c>
      <c r="I10" s="3" t="s">
        <v>14</v>
      </c>
      <c r="J10" s="4" t="s">
        <v>15</v>
      </c>
      <c r="K10" s="4" t="s">
        <v>42</v>
      </c>
    </row>
    <row r="11" customFormat="false" ht="15" hidden="false" customHeight="false" outlineLevel="0" collapsed="false">
      <c r="A11" s="2" t="s">
        <v>43</v>
      </c>
      <c r="B11" s="2" t="s">
        <v>44</v>
      </c>
      <c r="C11" s="2" t="s">
        <v>19</v>
      </c>
      <c r="D11" s="2" t="n">
        <v>1855</v>
      </c>
      <c r="E11" s="2" t="n">
        <v>40</v>
      </c>
      <c r="F11" s="2" t="n">
        <v>4</v>
      </c>
      <c r="G11" s="2" t="n">
        <v>8</v>
      </c>
      <c r="H11" s="2" t="n">
        <v>28</v>
      </c>
      <c r="I11" s="3" t="s">
        <v>14</v>
      </c>
      <c r="J11" s="4" t="s">
        <v>15</v>
      </c>
      <c r="K11" s="4" t="s">
        <v>45</v>
      </c>
    </row>
    <row r="12" customFormat="false" ht="15" hidden="false" customHeight="false" outlineLevel="0" collapsed="false">
      <c r="A12" s="2" t="s">
        <v>46</v>
      </c>
      <c r="B12" s="2" t="s">
        <v>47</v>
      </c>
      <c r="C12" s="2" t="s">
        <v>19</v>
      </c>
      <c r="D12" s="2" t="n">
        <v>1755</v>
      </c>
      <c r="E12" s="2" t="n">
        <v>41</v>
      </c>
      <c r="F12" s="2" t="n">
        <v>6</v>
      </c>
      <c r="G12" s="2" t="n">
        <v>5</v>
      </c>
      <c r="H12" s="2" t="n">
        <v>28</v>
      </c>
      <c r="I12" s="3" t="s">
        <v>14</v>
      </c>
      <c r="J12" s="4" t="s">
        <v>15</v>
      </c>
      <c r="K12" s="4" t="s">
        <v>48</v>
      </c>
    </row>
    <row r="13" customFormat="false" ht="15" hidden="false" customHeight="false" outlineLevel="0" collapsed="false">
      <c r="A13" s="2" t="s">
        <v>49</v>
      </c>
      <c r="B13" s="2" t="s">
        <v>50</v>
      </c>
      <c r="C13" s="2" t="s">
        <v>51</v>
      </c>
      <c r="D13" s="2" t="n">
        <v>1962</v>
      </c>
      <c r="E13" s="2" t="n">
        <v>10</v>
      </c>
      <c r="F13" s="2" t="n">
        <v>14</v>
      </c>
      <c r="G13" s="2" t="n">
        <v>2</v>
      </c>
      <c r="H13" s="2" t="n">
        <v>26</v>
      </c>
      <c r="I13" s="3" t="s">
        <v>14</v>
      </c>
      <c r="J13" s="4" t="s">
        <v>15</v>
      </c>
      <c r="K13" s="4" t="s">
        <v>52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s">
        <v>29</v>
      </c>
      <c r="D14" s="2" t="n">
        <v>1143</v>
      </c>
      <c r="E14" s="2" t="n">
        <v>12</v>
      </c>
      <c r="F14" s="2" t="n">
        <v>5</v>
      </c>
      <c r="G14" s="2" t="n">
        <v>5</v>
      </c>
      <c r="H14" s="2" t="n">
        <v>26</v>
      </c>
      <c r="I14" s="3" t="s">
        <v>14</v>
      </c>
      <c r="J14" s="4" t="s">
        <v>15</v>
      </c>
      <c r="K14" s="4" t="s">
        <v>55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s">
        <v>58</v>
      </c>
      <c r="D15" s="2" t="n">
        <v>1599</v>
      </c>
      <c r="E15" s="2" t="n">
        <v>12</v>
      </c>
      <c r="F15" s="2" t="n">
        <v>10</v>
      </c>
      <c r="G15" s="2" t="n">
        <v>4</v>
      </c>
      <c r="H15" s="2" t="n">
        <v>27</v>
      </c>
      <c r="I15" s="3" t="s">
        <v>14</v>
      </c>
      <c r="J15" s="4" t="s">
        <v>15</v>
      </c>
      <c r="K15" s="4" t="s">
        <v>59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s">
        <v>51</v>
      </c>
      <c r="D16" s="2" t="n">
        <v>541</v>
      </c>
      <c r="E16" s="2" t="n">
        <v>4</v>
      </c>
      <c r="F16" s="2" t="n">
        <v>2</v>
      </c>
      <c r="G16" s="2" t="n">
        <v>5</v>
      </c>
      <c r="H16" s="2" t="n">
        <v>26</v>
      </c>
      <c r="I16" s="3" t="s">
        <v>14</v>
      </c>
      <c r="J16" s="4" t="s">
        <v>15</v>
      </c>
      <c r="K16" s="4" t="s">
        <v>62</v>
      </c>
    </row>
    <row r="17" customFormat="false" ht="15" hidden="false" customHeight="false" outlineLevel="0" collapsed="false">
      <c r="A17" s="2" t="s">
        <v>63</v>
      </c>
      <c r="B17" s="2" t="s">
        <v>64</v>
      </c>
      <c r="C17" s="2" t="s">
        <v>51</v>
      </c>
      <c r="D17" s="2" t="n">
        <v>523</v>
      </c>
      <c r="E17" s="2" t="n">
        <v>3</v>
      </c>
      <c r="F17" s="2" t="n">
        <v>2</v>
      </c>
      <c r="G17" s="2" t="n">
        <v>5</v>
      </c>
      <c r="H17" s="2" t="n">
        <v>26</v>
      </c>
      <c r="I17" s="3" t="s">
        <v>14</v>
      </c>
      <c r="J17" s="4" t="s">
        <v>15</v>
      </c>
      <c r="K17" s="4" t="s">
        <v>65</v>
      </c>
    </row>
    <row r="18" customFormat="false" ht="15" hidden="false" customHeight="false" outlineLevel="0" collapsed="false">
      <c r="A18" s="2" t="s">
        <v>66</v>
      </c>
      <c r="B18" s="2" t="s">
        <v>67</v>
      </c>
      <c r="C18" s="2" t="s">
        <v>51</v>
      </c>
      <c r="D18" s="2" t="n">
        <v>660</v>
      </c>
      <c r="E18" s="2" t="n">
        <v>6</v>
      </c>
      <c r="F18" s="2" t="n">
        <v>2</v>
      </c>
      <c r="G18" s="2" t="n">
        <v>5</v>
      </c>
      <c r="H18" s="2" t="n">
        <v>26</v>
      </c>
      <c r="I18" s="3" t="s">
        <v>14</v>
      </c>
      <c r="J18" s="4" t="s">
        <v>15</v>
      </c>
      <c r="K18" s="4" t="s">
        <v>68</v>
      </c>
    </row>
    <row r="19" customFormat="false" ht="15" hidden="false" customHeight="false" outlineLevel="0" collapsed="false">
      <c r="A19" s="2" t="s">
        <v>69</v>
      </c>
      <c r="B19" s="2" t="s">
        <v>70</v>
      </c>
      <c r="C19" s="2" t="s">
        <v>71</v>
      </c>
      <c r="D19" s="2" t="n">
        <v>547</v>
      </c>
      <c r="E19" s="2" t="n">
        <v>3</v>
      </c>
      <c r="F19" s="2" t="n">
        <v>2</v>
      </c>
      <c r="G19" s="2" t="n">
        <v>9</v>
      </c>
      <c r="H19" s="2" t="n">
        <v>26</v>
      </c>
      <c r="I19" s="3" t="s">
        <v>14</v>
      </c>
      <c r="J19" s="4" t="s">
        <v>15</v>
      </c>
      <c r="K19" s="4" t="s">
        <v>72</v>
      </c>
    </row>
    <row r="20" customFormat="false" ht="15" hidden="false" customHeight="false" outlineLevel="0" collapsed="false">
      <c r="A20" s="2" t="s">
        <v>73</v>
      </c>
      <c r="B20" s="2" t="s">
        <v>74</v>
      </c>
      <c r="C20" s="2" t="s">
        <v>51</v>
      </c>
      <c r="D20" s="2" t="n">
        <v>632</v>
      </c>
      <c r="E20" s="2" t="n">
        <v>8</v>
      </c>
      <c r="F20" s="2" t="n">
        <v>3</v>
      </c>
      <c r="G20" s="2" t="n">
        <v>5</v>
      </c>
      <c r="H20" s="2" t="n">
        <v>27</v>
      </c>
      <c r="I20" s="3" t="s">
        <v>14</v>
      </c>
      <c r="J20" s="4" t="s">
        <v>15</v>
      </c>
      <c r="K20" s="4" t="s">
        <v>75</v>
      </c>
    </row>
    <row r="21" customFormat="false" ht="15" hidden="false" customHeight="false" outlineLevel="0" collapsed="false">
      <c r="A21" s="2" t="s">
        <v>76</v>
      </c>
      <c r="B21" s="2" t="s">
        <v>77</v>
      </c>
      <c r="C21" s="2" t="s">
        <v>51</v>
      </c>
      <c r="D21" s="2" t="n">
        <v>568</v>
      </c>
      <c r="E21" s="2" t="n">
        <v>5</v>
      </c>
      <c r="F21" s="2" t="n">
        <v>3</v>
      </c>
      <c r="G21" s="2" t="n">
        <v>5</v>
      </c>
      <c r="H21" s="2" t="n">
        <v>26</v>
      </c>
      <c r="I21" s="3" t="s">
        <v>14</v>
      </c>
      <c r="J21" s="4" t="s">
        <v>15</v>
      </c>
      <c r="K21" s="4" t="s">
        <v>78</v>
      </c>
    </row>
    <row r="22" customFormat="false" ht="15" hidden="false" customHeight="false" outlineLevel="0" collapsed="false">
      <c r="A22" s="2" t="s">
        <v>79</v>
      </c>
      <c r="B22" s="2" t="s">
        <v>80</v>
      </c>
      <c r="C22" s="2" t="s">
        <v>51</v>
      </c>
      <c r="D22" s="2" t="n">
        <v>626</v>
      </c>
      <c r="E22" s="2" t="n">
        <v>6</v>
      </c>
      <c r="F22" s="2" t="n">
        <v>2</v>
      </c>
      <c r="G22" s="2" t="n">
        <v>5</v>
      </c>
      <c r="H22" s="2" t="n">
        <v>27</v>
      </c>
      <c r="I22" s="3" t="s">
        <v>14</v>
      </c>
      <c r="J22" s="4" t="s">
        <v>15</v>
      </c>
      <c r="K22" s="4" t="s">
        <v>81</v>
      </c>
    </row>
    <row r="23" customFormat="false" ht="15" hidden="false" customHeight="false" outlineLevel="0" collapsed="false">
      <c r="A23" s="2" t="s">
        <v>82</v>
      </c>
      <c r="B23" s="2" t="s">
        <v>83</v>
      </c>
      <c r="C23" s="2" t="s">
        <v>58</v>
      </c>
      <c r="D23" s="2" t="n">
        <v>601</v>
      </c>
      <c r="E23" s="2" t="n">
        <v>11</v>
      </c>
      <c r="F23" s="2" t="n">
        <v>33</v>
      </c>
      <c r="G23" s="2" t="n">
        <v>6</v>
      </c>
      <c r="H23" s="2" t="n">
        <v>27</v>
      </c>
      <c r="I23" s="5" t="s">
        <v>84</v>
      </c>
      <c r="J23" s="4" t="s">
        <v>85</v>
      </c>
      <c r="K23" s="4" t="s">
        <v>86</v>
      </c>
    </row>
    <row r="24" customFormat="false" ht="15" hidden="false" customHeight="false" outlineLevel="0" collapsed="false">
      <c r="A24" s="2" t="s">
        <v>87</v>
      </c>
      <c r="B24" s="2" t="s">
        <v>88</v>
      </c>
      <c r="C24" s="2" t="s">
        <v>19</v>
      </c>
      <c r="D24" s="2" t="n">
        <v>467</v>
      </c>
      <c r="E24" s="2" t="n">
        <v>42</v>
      </c>
      <c r="F24" s="2" t="n">
        <v>113</v>
      </c>
      <c r="G24" s="2" t="n">
        <v>15</v>
      </c>
      <c r="H24" s="2" t="n">
        <v>29</v>
      </c>
      <c r="I24" s="5" t="s">
        <v>84</v>
      </c>
      <c r="J24" s="4" t="s">
        <v>85</v>
      </c>
      <c r="K24" s="4" t="s">
        <v>89</v>
      </c>
    </row>
    <row r="25" customFormat="false" ht="15" hidden="false" customHeight="false" outlineLevel="0" collapsed="false">
      <c r="A25" s="2" t="s">
        <v>90</v>
      </c>
      <c r="B25" s="2" t="s">
        <v>91</v>
      </c>
      <c r="C25" s="2" t="s">
        <v>58</v>
      </c>
      <c r="D25" s="2" t="n">
        <v>511</v>
      </c>
      <c r="E25" s="2" t="n">
        <v>24</v>
      </c>
      <c r="F25" s="2" t="n">
        <v>35</v>
      </c>
      <c r="G25" s="2" t="n">
        <v>19</v>
      </c>
      <c r="H25" s="2" t="n">
        <v>28</v>
      </c>
      <c r="I25" s="5" t="s">
        <v>84</v>
      </c>
      <c r="J25" s="4" t="s">
        <v>85</v>
      </c>
      <c r="K25" s="4" t="s">
        <v>92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2" t="s">
        <v>19</v>
      </c>
      <c r="D26" s="2" t="n">
        <v>182</v>
      </c>
      <c r="E26" s="2" t="n">
        <v>0</v>
      </c>
      <c r="F26" s="2" t="n">
        <v>0</v>
      </c>
      <c r="G26" s="2" t="n">
        <v>1</v>
      </c>
      <c r="H26" s="2" t="n">
        <v>18</v>
      </c>
      <c r="I26" s="6" t="s">
        <v>95</v>
      </c>
      <c r="J26" s="4" t="s">
        <v>85</v>
      </c>
      <c r="K26" s="4" t="s">
        <v>96</v>
      </c>
    </row>
    <row r="27" customFormat="false" ht="15" hidden="false" customHeight="false" outlineLevel="0" collapsed="false">
      <c r="A27" s="2" t="s">
        <v>97</v>
      </c>
      <c r="B27" s="2" t="s">
        <v>98</v>
      </c>
      <c r="C27" s="2" t="s">
        <v>58</v>
      </c>
      <c r="D27" s="2" t="n">
        <v>513</v>
      </c>
      <c r="E27" s="2" t="n">
        <v>8</v>
      </c>
      <c r="F27" s="2" t="n">
        <v>4</v>
      </c>
      <c r="G27" s="2" t="n">
        <v>11</v>
      </c>
      <c r="H27" s="2" t="n">
        <v>27</v>
      </c>
      <c r="I27" s="5" t="s">
        <v>84</v>
      </c>
      <c r="J27" s="4" t="s">
        <v>85</v>
      </c>
      <c r="K27" s="4" t="s">
        <v>99</v>
      </c>
    </row>
    <row r="28" customFormat="false" ht="15" hidden="false" customHeight="false" outlineLevel="0" collapsed="false">
      <c r="A28" s="2" t="s">
        <v>100</v>
      </c>
      <c r="B28" s="2" t="s">
        <v>101</v>
      </c>
      <c r="C28" s="2" t="s">
        <v>58</v>
      </c>
      <c r="D28" s="2" t="n">
        <v>454</v>
      </c>
      <c r="E28" s="2" t="n">
        <v>18</v>
      </c>
      <c r="F28" s="2" t="n">
        <v>17</v>
      </c>
      <c r="G28" s="2" t="n">
        <v>9</v>
      </c>
      <c r="H28" s="2" t="n">
        <v>27</v>
      </c>
      <c r="I28" s="5" t="s">
        <v>84</v>
      </c>
      <c r="J28" s="4" t="s">
        <v>85</v>
      </c>
      <c r="K28" s="4" t="s">
        <v>102</v>
      </c>
    </row>
    <row r="29" customFormat="false" ht="15" hidden="false" customHeight="false" outlineLevel="0" collapsed="false">
      <c r="A29" s="2" t="s">
        <v>103</v>
      </c>
      <c r="B29" s="2" t="s">
        <v>104</v>
      </c>
      <c r="C29" s="2" t="s">
        <v>58</v>
      </c>
      <c r="D29" s="2" t="n">
        <v>487</v>
      </c>
      <c r="E29" s="2" t="n">
        <v>16</v>
      </c>
      <c r="F29" s="2" t="n">
        <v>9</v>
      </c>
      <c r="G29" s="2" t="n">
        <v>20</v>
      </c>
      <c r="H29" s="2" t="n">
        <v>28</v>
      </c>
      <c r="I29" s="5" t="s">
        <v>84</v>
      </c>
      <c r="J29" s="4" t="s">
        <v>85</v>
      </c>
      <c r="K29" s="4" t="s">
        <v>105</v>
      </c>
    </row>
    <row r="31" customFormat="false" ht="15" hidden="false" customHeight="false" outlineLevel="0" collapsed="false">
      <c r="A31" s="7" t="s">
        <v>106</v>
      </c>
      <c r="D31" s="8" t="n">
        <f aca="false">SUM(D2:D29)</f>
        <v>40206</v>
      </c>
      <c r="E31" s="8" t="n">
        <f aca="false">SUM(E2:E29)</f>
        <v>547</v>
      </c>
      <c r="F31" s="8" t="n">
        <f aca="false">SUM(F2:F29)</f>
        <v>416</v>
      </c>
      <c r="G31" s="8" t="n">
        <f aca="false">SUM(G2:G29)</f>
        <v>243</v>
      </c>
      <c r="H31" s="8" t="n">
        <f aca="false">ROUND(AVERAGE(H2:H29),1)</f>
        <v>27.1</v>
      </c>
      <c r="I31" s="7" t="str">
        <f aca="false">COUNTIF(I2:I29,"*PASS*")&amp;"/"&amp;COUNTA(I2:I29)&amp;" PASS"</f>
        <v>27/28 PASS</v>
      </c>
    </row>
    <row r="33" customFormat="false" ht="15" hidden="false" customHeight="false" outlineLevel="0" collapsed="false">
      <c r="A33" s="9" t="s">
        <v>107</v>
      </c>
      <c r="B33" s="10" t="n">
        <v>28</v>
      </c>
    </row>
    <row r="34" customFormat="false" ht="15" hidden="false" customHeight="false" outlineLevel="0" collapsed="false">
      <c r="A34" s="9" t="s">
        <v>108</v>
      </c>
      <c r="B34" s="10" t="n">
        <v>21</v>
      </c>
    </row>
    <row r="35" customFormat="false" ht="15" hidden="false" customHeight="false" outlineLevel="0" collapsed="false">
      <c r="A35" s="9" t="s">
        <v>109</v>
      </c>
      <c r="B35" s="10" t="n">
        <v>7</v>
      </c>
    </row>
    <row r="36" customFormat="false" ht="15" hidden="false" customHeight="false" outlineLevel="0" collapsed="false">
      <c r="A36" s="9" t="s">
        <v>110</v>
      </c>
      <c r="B36" s="10" t="n">
        <f aca="false">COUNTIF(H2:H29,"&gt;=25")</f>
        <v>27</v>
      </c>
    </row>
    <row r="37" customFormat="false" ht="15" hidden="false" customHeight="false" outlineLevel="0" collapsed="false">
      <c r="A37" s="9" t="s">
        <v>111</v>
      </c>
      <c r="B37" s="10" t="n">
        <f aca="false">COUNTIF(H2:H29,"&lt;25")</f>
        <v>1</v>
      </c>
    </row>
    <row r="38" customFormat="false" ht="15" hidden="false" customHeight="false" outlineLevel="0" collapsed="false">
      <c r="A38" s="9" t="s">
        <v>112</v>
      </c>
      <c r="B38" s="10" t="n">
        <f aca="false">ROUND(AVERAGE(H2:H29),1)</f>
        <v>27.1</v>
      </c>
    </row>
    <row r="39" customFormat="false" ht="15" hidden="false" customHeight="false" outlineLevel="0" collapsed="false">
      <c r="A39" s="9" t="s">
        <v>113</v>
      </c>
      <c r="B39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1" t="s">
        <v>115</v>
      </c>
      <c r="B1" s="11" t="s">
        <v>116</v>
      </c>
      <c r="C1" s="11" t="s">
        <v>117</v>
      </c>
      <c r="D1" s="11" t="s">
        <v>118</v>
      </c>
    </row>
    <row r="2" customFormat="false" ht="15" hidden="false" customHeight="false" outlineLevel="0" collapsed="false">
      <c r="A2" s="12" t="s">
        <v>60</v>
      </c>
      <c r="B2" s="12" t="s">
        <v>119</v>
      </c>
      <c r="C2" s="12" t="s">
        <v>120</v>
      </c>
      <c r="D2" s="12" t="s">
        <v>121</v>
      </c>
    </row>
    <row r="3" customFormat="false" ht="15" hidden="false" customHeight="false" outlineLevel="0" collapsed="false">
      <c r="A3" s="12" t="s">
        <v>63</v>
      </c>
      <c r="B3" s="12" t="s">
        <v>66</v>
      </c>
      <c r="C3" s="12" t="s">
        <v>122</v>
      </c>
      <c r="D3" s="12" t="s">
        <v>123</v>
      </c>
    </row>
    <row r="4" customFormat="false" ht="15" hidden="false" customHeight="false" outlineLevel="0" collapsed="false">
      <c r="A4" s="12" t="s">
        <v>49</v>
      </c>
      <c r="B4" s="12" t="s">
        <v>17</v>
      </c>
      <c r="C4" s="12" t="s">
        <v>124</v>
      </c>
      <c r="D4" s="12" t="s">
        <v>125</v>
      </c>
    </row>
    <row r="5" customFormat="false" ht="15" hidden="false" customHeight="false" outlineLevel="0" collapsed="false">
      <c r="A5" s="12" t="s">
        <v>66</v>
      </c>
      <c r="B5" s="12" t="s">
        <v>17</v>
      </c>
      <c r="C5" s="12" t="s">
        <v>126</v>
      </c>
      <c r="D5" s="12" t="s">
        <v>127</v>
      </c>
    </row>
    <row r="6" customFormat="false" ht="15" hidden="false" customHeight="false" outlineLevel="0" collapsed="false">
      <c r="A6" s="12" t="s">
        <v>17</v>
      </c>
      <c r="B6" s="12" t="s">
        <v>11</v>
      </c>
      <c r="C6" s="12" t="s">
        <v>128</v>
      </c>
      <c r="D6" s="12" t="s">
        <v>129</v>
      </c>
    </row>
    <row r="7" customFormat="false" ht="15" hidden="false" customHeight="false" outlineLevel="0" collapsed="false">
      <c r="A7" s="12" t="s">
        <v>11</v>
      </c>
      <c r="B7" s="12" t="s">
        <v>21</v>
      </c>
      <c r="C7" s="12" t="s">
        <v>130</v>
      </c>
      <c r="D7" s="12" t="s">
        <v>131</v>
      </c>
    </row>
    <row r="8" customFormat="false" ht="15" hidden="false" customHeight="false" outlineLevel="0" collapsed="false">
      <c r="A8" s="12" t="s">
        <v>11</v>
      </c>
      <c r="B8" s="12" t="s">
        <v>24</v>
      </c>
      <c r="C8" s="12" t="s">
        <v>130</v>
      </c>
      <c r="D8" s="12" t="s">
        <v>132</v>
      </c>
    </row>
    <row r="9" customFormat="false" ht="15" hidden="false" customHeight="false" outlineLevel="0" collapsed="false">
      <c r="A9" s="12" t="s">
        <v>11</v>
      </c>
      <c r="B9" s="12" t="s">
        <v>27</v>
      </c>
      <c r="C9" s="12" t="s">
        <v>133</v>
      </c>
      <c r="D9" s="12" t="s">
        <v>134</v>
      </c>
    </row>
    <row r="10" customFormat="false" ht="15" hidden="false" customHeight="false" outlineLevel="0" collapsed="false">
      <c r="A10" s="12" t="s">
        <v>11</v>
      </c>
      <c r="B10" s="12" t="s">
        <v>31</v>
      </c>
      <c r="C10" s="12" t="s">
        <v>135</v>
      </c>
      <c r="D10" s="12" t="s">
        <v>136</v>
      </c>
    </row>
    <row r="11" customFormat="false" ht="15" hidden="false" customHeight="false" outlineLevel="0" collapsed="false">
      <c r="A11" s="12" t="s">
        <v>27</v>
      </c>
      <c r="B11" s="12" t="s">
        <v>24</v>
      </c>
      <c r="C11" s="12" t="s">
        <v>137</v>
      </c>
      <c r="D11" s="12" t="s">
        <v>138</v>
      </c>
    </row>
    <row r="12" customFormat="false" ht="15" hidden="false" customHeight="false" outlineLevel="0" collapsed="false">
      <c r="A12" s="12" t="s">
        <v>24</v>
      </c>
      <c r="B12" s="12" t="s">
        <v>34</v>
      </c>
      <c r="C12" s="12" t="s">
        <v>139</v>
      </c>
      <c r="D12" s="12" t="s">
        <v>140</v>
      </c>
    </row>
    <row r="13" customFormat="false" ht="15" hidden="false" customHeight="false" outlineLevel="0" collapsed="false">
      <c r="A13" s="12" t="s">
        <v>24</v>
      </c>
      <c r="B13" s="12" t="s">
        <v>87</v>
      </c>
      <c r="C13" s="12" t="s">
        <v>141</v>
      </c>
      <c r="D13" s="12" t="s">
        <v>142</v>
      </c>
    </row>
    <row r="14" customFormat="false" ht="15" hidden="false" customHeight="false" outlineLevel="0" collapsed="false">
      <c r="A14" s="12" t="s">
        <v>87</v>
      </c>
      <c r="B14" s="12" t="s">
        <v>24</v>
      </c>
      <c r="C14" s="12" t="s">
        <v>143</v>
      </c>
      <c r="D14" s="12" t="s">
        <v>144</v>
      </c>
    </row>
    <row r="15" customFormat="false" ht="15" hidden="false" customHeight="false" outlineLevel="0" collapsed="false">
      <c r="A15" s="12" t="s">
        <v>34</v>
      </c>
      <c r="B15" s="12" t="s">
        <v>37</v>
      </c>
      <c r="C15" s="12" t="s">
        <v>145</v>
      </c>
      <c r="D15" s="12" t="s">
        <v>146</v>
      </c>
    </row>
    <row r="16" customFormat="false" ht="15" hidden="false" customHeight="false" outlineLevel="0" collapsed="false">
      <c r="A16" s="12" t="s">
        <v>37</v>
      </c>
      <c r="B16" s="12" t="s">
        <v>53</v>
      </c>
      <c r="C16" s="12" t="s">
        <v>147</v>
      </c>
      <c r="D16" s="12" t="s">
        <v>148</v>
      </c>
    </row>
    <row r="17" customFormat="false" ht="15" hidden="false" customHeight="false" outlineLevel="0" collapsed="false">
      <c r="A17" s="12" t="s">
        <v>37</v>
      </c>
      <c r="B17" s="12" t="s">
        <v>40</v>
      </c>
      <c r="C17" s="12" t="s">
        <v>149</v>
      </c>
      <c r="D17" s="12" t="s">
        <v>150</v>
      </c>
    </row>
    <row r="18" customFormat="false" ht="15" hidden="false" customHeight="false" outlineLevel="0" collapsed="false">
      <c r="A18" s="12" t="s">
        <v>53</v>
      </c>
      <c r="B18" s="12" t="s">
        <v>40</v>
      </c>
      <c r="C18" s="12" t="s">
        <v>151</v>
      </c>
      <c r="D18" s="12" t="s">
        <v>152</v>
      </c>
    </row>
    <row r="19" customFormat="false" ht="15" hidden="false" customHeight="false" outlineLevel="0" collapsed="false">
      <c r="A19" s="12" t="s">
        <v>40</v>
      </c>
      <c r="B19" s="12" t="s">
        <v>43</v>
      </c>
      <c r="C19" s="12" t="s">
        <v>153</v>
      </c>
      <c r="D19" s="12" t="s">
        <v>154</v>
      </c>
    </row>
    <row r="20" customFormat="false" ht="15" hidden="false" customHeight="false" outlineLevel="0" collapsed="false">
      <c r="A20" s="12" t="s">
        <v>69</v>
      </c>
      <c r="B20" s="12" t="s">
        <v>40</v>
      </c>
      <c r="C20" s="12" t="s">
        <v>155</v>
      </c>
      <c r="D20" s="12" t="s">
        <v>156</v>
      </c>
    </row>
    <row r="21" customFormat="false" ht="15" hidden="false" customHeight="false" outlineLevel="0" collapsed="false">
      <c r="A21" s="12" t="s">
        <v>43</v>
      </c>
      <c r="B21" s="12" t="s">
        <v>11</v>
      </c>
      <c r="C21" s="12" t="s">
        <v>157</v>
      </c>
      <c r="D21" s="12" t="s">
        <v>158</v>
      </c>
    </row>
    <row r="22" customFormat="false" ht="15" hidden="false" customHeight="false" outlineLevel="0" collapsed="false">
      <c r="A22" s="12" t="s">
        <v>73</v>
      </c>
      <c r="B22" s="12" t="s">
        <v>76</v>
      </c>
      <c r="C22" s="12" t="s">
        <v>159</v>
      </c>
      <c r="D22" s="12" t="s">
        <v>160</v>
      </c>
    </row>
    <row r="23" customFormat="false" ht="15" hidden="false" customHeight="false" outlineLevel="0" collapsed="false">
      <c r="A23" s="12" t="s">
        <v>76</v>
      </c>
      <c r="B23" s="12" t="s">
        <v>79</v>
      </c>
      <c r="C23" s="12" t="s">
        <v>161</v>
      </c>
      <c r="D23" s="12" t="s">
        <v>162</v>
      </c>
    </row>
    <row r="24" customFormat="false" ht="15" hidden="false" customHeight="false" outlineLevel="0" collapsed="false">
      <c r="A24" s="12" t="s">
        <v>79</v>
      </c>
      <c r="B24" s="12" t="s">
        <v>11</v>
      </c>
      <c r="C24" s="12" t="s">
        <v>163</v>
      </c>
      <c r="D24" s="12" t="s">
        <v>164</v>
      </c>
    </row>
    <row r="25" customFormat="false" ht="15" hidden="false" customHeight="false" outlineLevel="0" collapsed="false">
      <c r="A25" s="12" t="s">
        <v>46</v>
      </c>
      <c r="B25" s="12" t="s">
        <v>165</v>
      </c>
      <c r="C25" s="12" t="s">
        <v>166</v>
      </c>
      <c r="D25" s="12" t="s">
        <v>167</v>
      </c>
    </row>
    <row r="26" customFormat="false" ht="15" hidden="false" customHeight="false" outlineLevel="0" collapsed="false">
      <c r="A26" s="12" t="s">
        <v>103</v>
      </c>
      <c r="B26" s="12" t="s">
        <v>82</v>
      </c>
      <c r="C26" s="12" t="s">
        <v>168</v>
      </c>
      <c r="D26" s="12" t="s">
        <v>169</v>
      </c>
    </row>
    <row r="27" customFormat="false" ht="15" hidden="false" customHeight="false" outlineLevel="0" collapsed="false">
      <c r="A27" s="12" t="s">
        <v>103</v>
      </c>
      <c r="B27" s="12" t="s">
        <v>97</v>
      </c>
      <c r="C27" s="12" t="s">
        <v>170</v>
      </c>
      <c r="D27" s="12" t="s">
        <v>171</v>
      </c>
    </row>
    <row r="28" customFormat="false" ht="15" hidden="false" customHeight="false" outlineLevel="0" collapsed="false">
      <c r="A28" s="12" t="s">
        <v>82</v>
      </c>
      <c r="B28" s="12" t="s">
        <v>100</v>
      </c>
      <c r="C28" s="12" t="s">
        <v>172</v>
      </c>
      <c r="D28" s="12" t="s">
        <v>173</v>
      </c>
    </row>
    <row r="29" customFormat="false" ht="15" hidden="false" customHeight="false" outlineLevel="0" collapsed="false">
      <c r="A29" s="12" t="s">
        <v>82</v>
      </c>
      <c r="B29" s="12" t="s">
        <v>90</v>
      </c>
      <c r="C29" s="12" t="s">
        <v>174</v>
      </c>
      <c r="D29" s="12" t="s">
        <v>175</v>
      </c>
    </row>
    <row r="30" customFormat="false" ht="15" hidden="false" customHeight="false" outlineLevel="0" collapsed="false">
      <c r="A30" s="12" t="s">
        <v>90</v>
      </c>
      <c r="B30" s="12" t="s">
        <v>82</v>
      </c>
      <c r="C30" s="12" t="s">
        <v>176</v>
      </c>
      <c r="D30" s="12" t="s">
        <v>177</v>
      </c>
    </row>
    <row r="31" customFormat="false" ht="15" hidden="false" customHeight="false" outlineLevel="0" collapsed="false">
      <c r="A31" s="12" t="s">
        <v>97</v>
      </c>
      <c r="B31" s="12" t="s">
        <v>90</v>
      </c>
      <c r="C31" s="12" t="s">
        <v>178</v>
      </c>
      <c r="D31" s="12" t="s">
        <v>179</v>
      </c>
    </row>
    <row r="32" customFormat="false" ht="15" hidden="false" customHeight="false" outlineLevel="0" collapsed="false">
      <c r="A32" s="12" t="s">
        <v>100</v>
      </c>
      <c r="B32" s="12" t="s">
        <v>180</v>
      </c>
      <c r="C32" s="12" t="s">
        <v>181</v>
      </c>
      <c r="D32" s="12" t="s">
        <v>182</v>
      </c>
    </row>
    <row r="33" customFormat="false" ht="15" hidden="false" customHeight="false" outlineLevel="0" collapsed="false">
      <c r="A33" s="12" t="s">
        <v>56</v>
      </c>
      <c r="B33" s="12" t="s">
        <v>183</v>
      </c>
      <c r="C33" s="12" t="s">
        <v>184</v>
      </c>
      <c r="D33" s="12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1" t="s">
        <v>186</v>
      </c>
      <c r="B1" s="11" t="s">
        <v>187</v>
      </c>
      <c r="C1" s="11" t="s">
        <v>188</v>
      </c>
      <c r="D1" s="11" t="s">
        <v>189</v>
      </c>
    </row>
    <row r="2" customFormat="false" ht="15" hidden="false" customHeight="false" outlineLevel="0" collapsed="false">
      <c r="A2" s="7" t="s">
        <v>190</v>
      </c>
      <c r="B2" s="12"/>
      <c r="C2" s="12" t="s">
        <v>191</v>
      </c>
      <c r="D2" s="12" t="s">
        <v>192</v>
      </c>
    </row>
    <row r="3" customFormat="false" ht="15" hidden="false" customHeight="false" outlineLevel="0" collapsed="false">
      <c r="A3" s="7" t="s">
        <v>193</v>
      </c>
      <c r="B3" s="12"/>
      <c r="C3" s="12" t="s">
        <v>194</v>
      </c>
      <c r="D3" s="12" t="s">
        <v>195</v>
      </c>
    </row>
    <row r="4" customFormat="false" ht="15" hidden="false" customHeight="false" outlineLevel="0" collapsed="false">
      <c r="A4" s="7" t="s">
        <v>196</v>
      </c>
      <c r="B4" s="12"/>
      <c r="C4" s="12" t="s">
        <v>194</v>
      </c>
      <c r="D4" s="12" t="s">
        <v>197</v>
      </c>
    </row>
    <row r="5" customFormat="false" ht="15" hidden="false" customHeight="false" outlineLevel="0" collapsed="false">
      <c r="A5" s="7" t="s">
        <v>198</v>
      </c>
      <c r="B5" s="12"/>
      <c r="C5" s="12" t="s">
        <v>194</v>
      </c>
      <c r="D5" s="12" t="s">
        <v>199</v>
      </c>
    </row>
    <row r="6" customFormat="false" ht="15" hidden="false" customHeight="false" outlineLevel="0" collapsed="false">
      <c r="A6" s="7" t="s">
        <v>200</v>
      </c>
      <c r="B6" s="12"/>
      <c r="C6" s="12" t="s">
        <v>201</v>
      </c>
      <c r="D6" s="12" t="s">
        <v>202</v>
      </c>
    </row>
    <row r="7" customFormat="false" ht="15" hidden="false" customHeight="false" outlineLevel="0" collapsed="false">
      <c r="A7" s="7" t="s">
        <v>203</v>
      </c>
      <c r="B7" s="12"/>
      <c r="C7" s="12" t="s">
        <v>204</v>
      </c>
      <c r="D7" s="12" t="s">
        <v>205</v>
      </c>
    </row>
    <row r="8" customFormat="false" ht="15" hidden="false" customHeight="false" outlineLevel="0" collapsed="false">
      <c r="A8" s="7"/>
      <c r="B8" s="12"/>
      <c r="C8" s="12"/>
      <c r="D8" s="12"/>
    </row>
    <row r="9" customFormat="false" ht="15" hidden="false" customHeight="false" outlineLevel="0" collapsed="false">
      <c r="A9" s="7" t="s">
        <v>206</v>
      </c>
      <c r="B9" s="12"/>
      <c r="C9" s="12" t="s">
        <v>207</v>
      </c>
      <c r="D9" s="12" t="s">
        <v>208</v>
      </c>
    </row>
    <row r="10" customFormat="false" ht="15" hidden="false" customHeight="false" outlineLevel="0" collapsed="false">
      <c r="A10" s="7"/>
      <c r="B10" s="12"/>
      <c r="C10" s="12"/>
      <c r="D10" s="12"/>
    </row>
    <row r="11" customFormat="false" ht="15" hidden="false" customHeight="false" outlineLevel="0" collapsed="false">
      <c r="A11" s="7" t="s">
        <v>209</v>
      </c>
      <c r="B11" s="12"/>
      <c r="C11" s="12"/>
      <c r="D11" s="12"/>
    </row>
    <row r="12" customFormat="false" ht="15" hidden="false" customHeight="false" outlineLevel="0" collapsed="false">
      <c r="A12" s="7" t="s">
        <v>210</v>
      </c>
      <c r="B12" s="12" t="s">
        <v>211</v>
      </c>
      <c r="C12" s="12"/>
      <c r="D12" s="12" t="s">
        <v>212</v>
      </c>
    </row>
    <row r="13" customFormat="false" ht="15" hidden="false" customHeight="false" outlineLevel="0" collapsed="false">
      <c r="A13" s="7" t="s">
        <v>213</v>
      </c>
      <c r="B13" s="12" t="s">
        <v>214</v>
      </c>
      <c r="C13" s="12"/>
      <c r="D13" s="12" t="s">
        <v>215</v>
      </c>
    </row>
    <row r="14" customFormat="false" ht="15" hidden="false" customHeight="false" outlineLevel="0" collapsed="false">
      <c r="A14" s="7" t="s">
        <v>216</v>
      </c>
      <c r="B14" s="12" t="s">
        <v>217</v>
      </c>
      <c r="C14" s="12"/>
      <c r="D14" s="12" t="s">
        <v>218</v>
      </c>
    </row>
    <row r="15" customFormat="false" ht="15" hidden="false" customHeight="false" outlineLevel="0" collapsed="false">
      <c r="A15" s="7" t="s">
        <v>219</v>
      </c>
      <c r="B15" s="12" t="s">
        <v>220</v>
      </c>
      <c r="C15" s="12"/>
      <c r="D15" s="12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2026-04-14T06:31:58Z</dcterms:created>
  <dc:creator>openpyxl</dc:creator>
  <dc:description/>
  <dc:language>en-US</dc:language>
  <cp:lastModifiedBy/>
  <dcterms:modified xsi:type="dcterms:W3CDTF">2026-04-14T06:31:58Z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